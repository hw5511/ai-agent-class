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매출 데이터" sheetId="1" state="visible" r:id="rId1"/>
    <sheet xmlns:r="http://schemas.openxmlformats.org/officeDocument/2006/relationships" name="월별 요약" sheetId="2" state="visible" r:id="rId2"/>
    <sheet xmlns:r="http://schemas.openxmlformats.org/officeDocument/2006/relationships" name="사용 안내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yyyy-mm-dd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6"/>
    </font>
    <font>
      <name val="Noto Sans CJK SC"/>
      <family val="2"/>
      <color rgb="FFFFFFFF"/>
      <sz val="10"/>
    </font>
    <font>
      <name val="Arial"/>
      <charset val="1"/>
      <family val="0"/>
      <color rgb="FFFFFFFF"/>
      <sz val="10"/>
    </font>
    <font>
      <name val="Noto Sans CJK SC"/>
      <family val="2"/>
      <b val="1"/>
      <color rgb="FF1F4E79"/>
      <sz val="10"/>
    </font>
    <font>
      <name val="Arial"/>
      <charset val="1"/>
      <family val="0"/>
      <b val="1"/>
      <color rgb="FF1F4E79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8B"/>
      <sz val="10"/>
    </font>
    <font>
      <name val="Noto Sans CJK SC"/>
      <family val="2"/>
      <b val="1"/>
      <color rgb="FFFFFFFF"/>
      <sz val="11"/>
    </font>
    <font>
      <name val="Arial"/>
      <charset val="1"/>
      <family val="0"/>
      <b val="1"/>
      <color rgb="FF000000"/>
      <sz val="11"/>
    </font>
    <font>
      <name val="Noto Sans CJK SC"/>
      <family val="2"/>
      <color rgb="FF888888"/>
      <sz val="9"/>
    </font>
    <font>
      <name val="Noto Sans CJK SC"/>
      <family val="2"/>
      <b val="1"/>
      <color rgb="FFFFFFFF"/>
      <sz val="15"/>
    </font>
    <font>
      <name val="Noto Sans CJK SC"/>
      <family val="2"/>
      <color rgb="FF000000"/>
      <sz val="10"/>
    </font>
    <font>
      <name val="Noto Sans CJK SC"/>
      <family val="2"/>
      <b val="1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4F0"/>
      </patternFill>
    </fill>
    <fill>
      <patternFill patternType="solid">
        <fgColor rgb="FFEBF3FB"/>
        <bgColor rgb="FFDEEAF1"/>
      </patternFill>
    </fill>
    <fill>
      <patternFill patternType="solid">
        <fgColor rgb="FFFFFFFF"/>
        <bgColor rgb="FFEBF3FB"/>
      </patternFill>
    </fill>
    <fill>
      <patternFill patternType="solid">
        <fgColor rgb="FFD6E4F0"/>
        <bgColor rgb="FFDEEAF1"/>
      </patternFill>
    </fill>
    <fill>
      <patternFill patternType="solid">
        <fgColor rgb="FFFFF2CC"/>
        <bgColor rgb="FFEBF3FB"/>
      </patternFill>
    </fill>
  </fills>
  <borders count="7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3" fontId="9" fillId="7" borderId="1" applyAlignment="1" pivotButton="0" quotePrefix="0" xfId="0">
      <alignment horizontal="right" vertical="center"/>
    </xf>
    <xf numFmtId="0" fontId="14" fillId="2" borderId="2" applyAlignment="1" pivotButton="0" quotePrefix="0" xfId="0">
      <alignment horizontal="center" vertical="center"/>
    </xf>
    <xf numFmtId="3" fontId="15" fillId="8" borderId="1" applyAlignment="1" pivotButton="0" quotePrefix="0" xfId="0">
      <alignment horizontal="right" vertical="center"/>
    </xf>
    <xf numFmtId="164" fontId="15" fillId="8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3" fontId="13" fillId="5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/>
    </xf>
    <xf numFmtId="0" fontId="19" fillId="4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left" vertical="center"/>
    </xf>
    <xf numFmtId="0" fontId="0" fillId="0" borderId="5" pivotButton="0" quotePrefix="0" xfId="0"/>
    <xf numFmtId="0" fontId="9" fillId="5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6" fontId="13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3" fontId="9" fillId="7" borderId="1" applyAlignment="1" pivotButton="0" quotePrefix="0" xfId="0">
      <alignment horizontal="right" vertical="center"/>
    </xf>
    <xf numFmtId="0" fontId="14" fillId="2" borderId="2" applyAlignment="1" pivotButton="0" quotePrefix="0" xfId="0">
      <alignment horizontal="center" vertical="center"/>
    </xf>
    <xf numFmtId="0" fontId="0" fillId="0" borderId="6" pivotButton="0" quotePrefix="0" xfId="0"/>
    <xf numFmtId="3" fontId="15" fillId="8" borderId="1" applyAlignment="1" pivotButton="0" quotePrefix="0" xfId="0">
      <alignment horizontal="right" vertical="center"/>
    </xf>
    <xf numFmtId="164" fontId="15" fillId="8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3" fontId="13" fillId="5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/>
    </xf>
    <xf numFmtId="0" fontId="19" fillId="4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D6E4F0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6" min="1" max="1"/>
    <col width="12" customWidth="1" style="26" min="2" max="2"/>
    <col width="18" customWidth="1" style="26" min="3" max="3"/>
    <col width="22" customWidth="1" style="26" min="4" max="4"/>
    <col width="14" customWidth="1" style="26" min="5" max="5"/>
    <col width="8" customWidth="1" style="26" min="6" max="6"/>
    <col width="14" customWidth="1" style="26" min="7" max="7"/>
    <col width="16" customWidth="1" style="26" min="8" max="8"/>
    <col width="10" customWidth="1" style="26" min="9" max="9"/>
    <col width="18" customWidth="1" style="26" min="10" max="11"/>
  </cols>
  <sheetData>
    <row r="1" ht="36" customHeight="1" s="27">
      <c r="A1" s="28" t="inlineStr">
        <is>
          <t>매출 데이터 기입 템플릿</t>
        </is>
      </c>
    </row>
    <row r="2" ht="19.5" customHeight="1" s="27">
      <c r="A2" s="29" t="inlineStr">
        <is>
          <t>※ 파란색 셀에 데이터를 입력하세요.  |  합계 및 비율은 자동 계산됩니다.</t>
        </is>
      </c>
    </row>
    <row r="3" ht="21.75" customHeight="1" s="27">
      <c r="A3" s="30" t="inlineStr">
        <is>
          <t>작성일:</t>
        </is>
      </c>
      <c r="B3" s="31" t="n">
        <v>45748</v>
      </c>
      <c r="C3" s="32" t="n"/>
      <c r="D3" s="30" t="inlineStr">
        <is>
          <t>담당자:</t>
        </is>
      </c>
      <c r="E3" s="33" t="inlineStr">
        <is>
          <t>김영업</t>
        </is>
      </c>
      <c r="F3" s="32" t="n"/>
      <c r="G3" s="30" t="inlineStr">
        <is>
          <t>부서:</t>
        </is>
      </c>
      <c r="H3" s="33" t="inlineStr">
        <is>
          <t>영업1팀</t>
        </is>
      </c>
      <c r="I3" s="32" t="n"/>
      <c r="J3" s="30" t="inlineStr">
        <is>
          <t>기간:</t>
        </is>
      </c>
      <c r="K3" s="33" t="inlineStr">
        <is>
          <t>2025년 1분기 (1~3월)</t>
        </is>
      </c>
    </row>
    <row r="4" ht="27.75" customHeight="1" s="27">
      <c r="A4" s="34" t="inlineStr">
        <is>
          <t>No.</t>
        </is>
      </c>
      <c r="B4" s="35" t="inlineStr">
        <is>
          <t>날짜</t>
        </is>
      </c>
      <c r="C4" s="35" t="inlineStr">
        <is>
          <t>거래처명</t>
        </is>
      </c>
      <c r="D4" s="35" t="inlineStr">
        <is>
          <t>제품/서비스명</t>
        </is>
      </c>
      <c r="E4" s="35" t="inlineStr">
        <is>
          <t>카테고리</t>
        </is>
      </c>
      <c r="F4" s="35" t="inlineStr">
        <is>
          <t>수량</t>
        </is>
      </c>
      <c r="G4" s="35" t="inlineStr">
        <is>
          <t>단가 (원)</t>
        </is>
      </c>
      <c r="H4" s="35" t="inlineStr">
        <is>
          <t>매출액 (원)</t>
        </is>
      </c>
      <c r="I4" s="35" t="inlineStr">
        <is>
          <t>할인율 (%)</t>
        </is>
      </c>
      <c r="J4" s="35" t="inlineStr">
        <is>
          <t>할인 후 매출 (원)</t>
        </is>
      </c>
      <c r="K4" s="35" t="inlineStr">
        <is>
          <t>비고</t>
        </is>
      </c>
    </row>
    <row r="5" ht="19.5" customHeight="1" s="27">
      <c r="A5" s="36" t="n">
        <v>1</v>
      </c>
      <c r="B5" s="37" t="n">
        <v>45663</v>
      </c>
      <c r="C5" s="38" t="inlineStr">
        <is>
          <t>한빛마트</t>
        </is>
      </c>
      <c r="D5" s="38" t="inlineStr">
        <is>
          <t>유기농 현미 10kg</t>
        </is>
      </c>
      <c r="E5" s="38" t="inlineStr">
        <is>
          <t>식품</t>
        </is>
      </c>
      <c r="F5" s="39" t="n">
        <v>40</v>
      </c>
      <c r="G5" s="39" t="n">
        <v>38000</v>
      </c>
      <c r="H5" s="40">
        <f>IF(AND(ISNUMBER(F5),ISNUMBER(G5)),F5*G5,"")</f>
        <v/>
      </c>
      <c r="I5" s="41" t="n">
        <v>0.05</v>
      </c>
      <c r="J5" s="42">
        <f>IF(H5="","",H5*(1-IF(ISNUMBER(I5),I5,0)))</f>
        <v/>
      </c>
      <c r="K5" s="38" t="inlineStr">
        <is>
          <t>정기 납품</t>
        </is>
      </c>
    </row>
    <row r="6" ht="19.5" customHeight="1" s="27">
      <c r="A6" s="36" t="n">
        <v>2</v>
      </c>
      <c r="B6" s="37" t="n">
        <v>45666</v>
      </c>
      <c r="C6" s="38" t="inlineStr">
        <is>
          <t>서울패션</t>
        </is>
      </c>
      <c r="D6" s="38" t="inlineStr">
        <is>
          <t>겨울 패딩 자켓</t>
        </is>
      </c>
      <c r="E6" s="38" t="inlineStr">
        <is>
          <t>의류</t>
        </is>
      </c>
      <c r="F6" s="39" t="n">
        <v>15</v>
      </c>
      <c r="G6" s="39" t="n">
        <v>129000</v>
      </c>
      <c r="H6" s="40">
        <f>IF(AND(ISNUMBER(F6),ISNUMBER(G6)),F6*G6,"")</f>
        <v/>
      </c>
      <c r="I6" s="41" t="n">
        <v>0.1</v>
      </c>
      <c r="J6" s="42">
        <f>IF(H6="","",H6*(1-IF(ISNUMBER(I6),I6,0)))</f>
        <v/>
      </c>
      <c r="K6" s="38" t="inlineStr">
        <is>
          <t>시즌 할인</t>
        </is>
      </c>
    </row>
    <row r="7" ht="19.5" customHeight="1" s="27">
      <c r="A7" s="36" t="n">
        <v>3</v>
      </c>
      <c r="B7" s="37" t="n">
        <v>45671</v>
      </c>
      <c r="C7" s="38" t="inlineStr">
        <is>
          <t>테크월드</t>
        </is>
      </c>
      <c r="D7" s="38" t="inlineStr">
        <is>
          <t>무선 이어폰 X2</t>
        </is>
      </c>
      <c r="E7" s="38" t="inlineStr">
        <is>
          <t>전자기기</t>
        </is>
      </c>
      <c r="F7" s="39" t="n">
        <v>60</v>
      </c>
      <c r="G7" s="39" t="n">
        <v>89000</v>
      </c>
      <c r="H7" s="40">
        <f>IF(AND(ISNUMBER(F7),ISNUMBER(G7)),F7*G7,"")</f>
        <v/>
      </c>
      <c r="I7" s="41" t="n">
        <v>0</v>
      </c>
      <c r="J7" s="42">
        <f>IF(H7="","",H7*(1-IF(ISNUMBER(I7),I7,0)))</f>
        <v/>
      </c>
      <c r="K7" s="38" t="inlineStr"/>
    </row>
    <row r="8" ht="19.5" customHeight="1" s="27">
      <c r="A8" s="36" t="n">
        <v>4</v>
      </c>
      <c r="B8" s="37" t="n">
        <v>45674</v>
      </c>
      <c r="C8" s="38" t="inlineStr">
        <is>
          <t>뷰티하우스</t>
        </is>
      </c>
      <c r="D8" s="38" t="inlineStr">
        <is>
          <t>수분 크림 50ml</t>
        </is>
      </c>
      <c r="E8" s="38" t="inlineStr">
        <is>
          <t>화장품</t>
        </is>
      </c>
      <c r="F8" s="39" t="n">
        <v>120</v>
      </c>
      <c r="G8" s="39" t="n">
        <v>24000</v>
      </c>
      <c r="H8" s="40">
        <f>IF(AND(ISNUMBER(F8),ISNUMBER(G8)),F8*G8,"")</f>
        <v/>
      </c>
      <c r="I8" s="41" t="n">
        <v>0.08</v>
      </c>
      <c r="J8" s="42">
        <f>IF(H8="","",H8*(1-IF(ISNUMBER(I8),I8,0)))</f>
        <v/>
      </c>
      <c r="K8" s="38" t="inlineStr">
        <is>
          <t>신제품 프로모션</t>
        </is>
      </c>
    </row>
    <row r="9" ht="19.5" customHeight="1" s="27">
      <c r="A9" s="36" t="n">
        <v>5</v>
      </c>
      <c r="B9" s="37" t="n">
        <v>45679</v>
      </c>
      <c r="C9" s="38" t="inlineStr">
        <is>
          <t>그린리빙</t>
        </is>
      </c>
      <c r="D9" s="38" t="inlineStr">
        <is>
          <t>친환경 세제 3L</t>
        </is>
      </c>
      <c r="E9" s="38" t="inlineStr">
        <is>
          <t>생활용품</t>
        </is>
      </c>
      <c r="F9" s="39" t="n">
        <v>200</v>
      </c>
      <c r="G9" s="39" t="n">
        <v>9500</v>
      </c>
      <c r="H9" s="40">
        <f>IF(AND(ISNUMBER(F9),ISNUMBER(G9)),F9*G9,"")</f>
        <v/>
      </c>
      <c r="I9" s="41" t="n">
        <v>0</v>
      </c>
      <c r="J9" s="42">
        <f>IF(H9="","",H9*(1-IF(ISNUMBER(I9),I9,0)))</f>
        <v/>
      </c>
      <c r="K9" s="38" t="inlineStr"/>
    </row>
    <row r="10" ht="19.5" customHeight="1" s="27">
      <c r="A10" s="36" t="n">
        <v>6</v>
      </c>
      <c r="B10" s="37" t="n">
        <v>45685</v>
      </c>
      <c r="C10" s="38" t="inlineStr">
        <is>
          <t>스마트오피스</t>
        </is>
      </c>
      <c r="D10" s="38" t="inlineStr">
        <is>
          <t>클라우드 구독 (연간)</t>
        </is>
      </c>
      <c r="E10" s="38" t="inlineStr">
        <is>
          <t>서비스</t>
        </is>
      </c>
      <c r="F10" s="39" t="n">
        <v>5</v>
      </c>
      <c r="G10" s="39" t="n">
        <v>480000</v>
      </c>
      <c r="H10" s="40">
        <f>IF(AND(ISNUMBER(F10),ISNUMBER(G10)),F10*G10,"")</f>
        <v/>
      </c>
      <c r="I10" s="41" t="n">
        <v>0.15</v>
      </c>
      <c r="J10" s="42">
        <f>IF(H10="","",H10*(1-IF(ISNUMBER(I10),I10,0)))</f>
        <v/>
      </c>
      <c r="K10" s="38" t="inlineStr">
        <is>
          <t>연간 계약</t>
        </is>
      </c>
    </row>
    <row r="11" ht="19.5" customHeight="1" s="27">
      <c r="A11" s="36" t="n">
        <v>7</v>
      </c>
      <c r="B11" s="37" t="n">
        <v>45691</v>
      </c>
      <c r="C11" s="38" t="inlineStr">
        <is>
          <t>한빛마트</t>
        </is>
      </c>
      <c r="D11" s="38" t="inlineStr">
        <is>
          <t>프리미엄 김 세트</t>
        </is>
      </c>
      <c r="E11" s="38" t="inlineStr">
        <is>
          <t>식품</t>
        </is>
      </c>
      <c r="F11" s="39" t="n">
        <v>80</v>
      </c>
      <c r="G11" s="39" t="n">
        <v>15000</v>
      </c>
      <c r="H11" s="40">
        <f>IF(AND(ISNUMBER(F11),ISNUMBER(G11)),F11*G11,"")</f>
        <v/>
      </c>
      <c r="I11" s="41" t="n">
        <v>0</v>
      </c>
      <c r="J11" s="42">
        <f>IF(H11="","",H11*(1-IF(ISNUMBER(I11),I11,0)))</f>
        <v/>
      </c>
      <c r="K11" s="38" t="inlineStr">
        <is>
          <t>설 선물세트</t>
        </is>
      </c>
    </row>
    <row r="12" ht="19.5" customHeight="1" s="27">
      <c r="A12" s="36" t="n">
        <v>8</v>
      </c>
      <c r="B12" s="37" t="n">
        <v>45695</v>
      </c>
      <c r="C12" s="38" t="inlineStr">
        <is>
          <t>테크월드</t>
        </is>
      </c>
      <c r="D12" s="38" t="inlineStr">
        <is>
          <t>스마트워치 S5</t>
        </is>
      </c>
      <c r="E12" s="38" t="inlineStr">
        <is>
          <t>전자기기</t>
        </is>
      </c>
      <c r="F12" s="39" t="n">
        <v>25</v>
      </c>
      <c r="G12" s="39" t="n">
        <v>210000</v>
      </c>
      <c r="H12" s="40">
        <f>IF(AND(ISNUMBER(F12),ISNUMBER(G12)),F12*G12,"")</f>
        <v/>
      </c>
      <c r="I12" s="41" t="n">
        <v>0.05</v>
      </c>
      <c r="J12" s="42">
        <f>IF(H12="","",H12*(1-IF(ISNUMBER(I12),I12,0)))</f>
        <v/>
      </c>
      <c r="K12" s="38" t="inlineStr"/>
    </row>
    <row r="13" ht="19.5" customHeight="1" s="27">
      <c r="A13" s="36" t="n">
        <v>9</v>
      </c>
      <c r="B13" s="37" t="n">
        <v>45700</v>
      </c>
      <c r="C13" s="38" t="inlineStr">
        <is>
          <t>서울패션</t>
        </is>
      </c>
      <c r="D13" s="38" t="inlineStr">
        <is>
          <t>봄 트렌치코트</t>
        </is>
      </c>
      <c r="E13" s="38" t="inlineStr">
        <is>
          <t>의류</t>
        </is>
      </c>
      <c r="F13" s="39" t="n">
        <v>30</v>
      </c>
      <c r="G13" s="39" t="n">
        <v>98000</v>
      </c>
      <c r="H13" s="40">
        <f>IF(AND(ISNUMBER(F13),ISNUMBER(G13)),F13*G13,"")</f>
        <v/>
      </c>
      <c r="I13" s="41" t="n">
        <v>0</v>
      </c>
      <c r="J13" s="42">
        <f>IF(H13="","",H13*(1-IF(ISNUMBER(I13),I13,0)))</f>
        <v/>
      </c>
      <c r="K13" s="38" t="inlineStr">
        <is>
          <t>선주문</t>
        </is>
      </c>
    </row>
    <row r="14" ht="19.5" customHeight="1" s="27">
      <c r="A14" s="36" t="n">
        <v>10</v>
      </c>
      <c r="B14" s="37" t="n">
        <v>45706</v>
      </c>
      <c r="C14" s="38" t="inlineStr">
        <is>
          <t>뷰티하우스</t>
        </is>
      </c>
      <c r="D14" s="38" t="inlineStr">
        <is>
          <t>선크림 SPF50</t>
        </is>
      </c>
      <c r="E14" s="38" t="inlineStr">
        <is>
          <t>화장품</t>
        </is>
      </c>
      <c r="F14" s="39" t="n">
        <v>150</v>
      </c>
      <c r="G14" s="39" t="n">
        <v>18000</v>
      </c>
      <c r="H14" s="40">
        <f>IF(AND(ISNUMBER(F14),ISNUMBER(G14)),F14*G14,"")</f>
        <v/>
      </c>
      <c r="I14" s="41" t="n">
        <v>0.1</v>
      </c>
      <c r="J14" s="42">
        <f>IF(H14="","",H14*(1-IF(ISNUMBER(I14),I14,0)))</f>
        <v/>
      </c>
      <c r="K14" s="38" t="inlineStr"/>
    </row>
    <row r="15" ht="19.5" customHeight="1" s="27">
      <c r="A15" s="36" t="n">
        <v>11</v>
      </c>
      <c r="B15" s="37" t="n">
        <v>45709</v>
      </c>
      <c r="C15" s="38" t="inlineStr">
        <is>
          <t>그린리빙</t>
        </is>
      </c>
      <c r="D15" s="38" t="inlineStr">
        <is>
          <t>대나무 칫솔 세트</t>
        </is>
      </c>
      <c r="E15" s="38" t="inlineStr">
        <is>
          <t>생활용품</t>
        </is>
      </c>
      <c r="F15" s="39" t="n">
        <v>300</v>
      </c>
      <c r="G15" s="39" t="n">
        <v>4500</v>
      </c>
      <c r="H15" s="40">
        <f>IF(AND(ISNUMBER(F15),ISNUMBER(G15)),F15*G15,"")</f>
        <v/>
      </c>
      <c r="I15" s="41" t="n">
        <v>0</v>
      </c>
      <c r="J15" s="42">
        <f>IF(H15="","",H15*(1-IF(ISNUMBER(I15),I15,0)))</f>
        <v/>
      </c>
      <c r="K15" s="38" t="inlineStr"/>
    </row>
    <row r="16" ht="19.5" customHeight="1" s="27">
      <c r="A16" s="36" t="n">
        <v>12</v>
      </c>
      <c r="B16" s="37" t="n">
        <v>45714</v>
      </c>
      <c r="C16" s="38" t="inlineStr">
        <is>
          <t>굿라이프</t>
        </is>
      </c>
      <c r="D16" s="38" t="inlineStr">
        <is>
          <t>프리미엄 견과 믹스</t>
        </is>
      </c>
      <c r="E16" s="38" t="inlineStr">
        <is>
          <t>식품</t>
        </is>
      </c>
      <c r="F16" s="39" t="n">
        <v>100</v>
      </c>
      <c r="G16" s="39" t="n">
        <v>12000</v>
      </c>
      <c r="H16" s="40">
        <f>IF(AND(ISNUMBER(F16),ISNUMBER(G16)),F16*G16,"")</f>
        <v/>
      </c>
      <c r="I16" s="41" t="n">
        <v>0.03</v>
      </c>
      <c r="J16" s="42">
        <f>IF(H16="","",H16*(1-IF(ISNUMBER(I16),I16,0)))</f>
        <v/>
      </c>
      <c r="K16" s="38" t="inlineStr">
        <is>
          <t>재주문</t>
        </is>
      </c>
    </row>
    <row r="17" ht="19.5" customHeight="1" s="27">
      <c r="A17" s="36" t="n">
        <v>13</v>
      </c>
      <c r="B17" s="37" t="n">
        <v>45720</v>
      </c>
      <c r="C17" s="38" t="inlineStr">
        <is>
          <t>스마트오피스</t>
        </is>
      </c>
      <c r="D17" s="38" t="inlineStr">
        <is>
          <t>IT 컨설팅 (시간)</t>
        </is>
      </c>
      <c r="E17" s="38" t="inlineStr">
        <is>
          <t>서비스</t>
        </is>
      </c>
      <c r="F17" s="39" t="n">
        <v>40</v>
      </c>
      <c r="G17" s="39" t="n">
        <v>150000</v>
      </c>
      <c r="H17" s="40">
        <f>IF(AND(ISNUMBER(F17),ISNUMBER(G17)),F17*G17,"")</f>
        <v/>
      </c>
      <c r="I17" s="41" t="n">
        <v>0</v>
      </c>
      <c r="J17" s="42">
        <f>IF(H17="","",H17*(1-IF(ISNUMBER(I17),I17,0)))</f>
        <v/>
      </c>
      <c r="K17" s="38" t="inlineStr">
        <is>
          <t>프로젝트 A</t>
        </is>
      </c>
    </row>
    <row r="18" ht="19.5" customHeight="1" s="27">
      <c r="A18" s="36" t="n">
        <v>14</v>
      </c>
      <c r="B18" s="37" t="n">
        <v>45723</v>
      </c>
      <c r="C18" s="38" t="inlineStr">
        <is>
          <t>테크월드</t>
        </is>
      </c>
      <c r="D18" s="38" t="inlineStr">
        <is>
          <t>블루투스 스피커</t>
        </is>
      </c>
      <c r="E18" s="38" t="inlineStr">
        <is>
          <t>전자기기</t>
        </is>
      </c>
      <c r="F18" s="39" t="n">
        <v>45</v>
      </c>
      <c r="G18" s="39" t="n">
        <v>65000</v>
      </c>
      <c r="H18" s="40">
        <f>IF(AND(ISNUMBER(F18),ISNUMBER(G18)),F18*G18,"")</f>
        <v/>
      </c>
      <c r="I18" s="41" t="n">
        <v>0.12</v>
      </c>
      <c r="J18" s="42">
        <f>IF(H18="","",H18*(1-IF(ISNUMBER(I18),I18,0)))</f>
        <v/>
      </c>
      <c r="K18" s="38" t="inlineStr">
        <is>
          <t>재고 소진</t>
        </is>
      </c>
    </row>
    <row r="19" ht="19.5" customHeight="1" s="27">
      <c r="A19" s="36" t="n">
        <v>15</v>
      </c>
      <c r="B19" s="37" t="n">
        <v>45727</v>
      </c>
      <c r="C19" s="38" t="inlineStr">
        <is>
          <t>한빛마트</t>
        </is>
      </c>
      <c r="D19" s="38" t="inlineStr">
        <is>
          <t>생수 2L x 6</t>
        </is>
      </c>
      <c r="E19" s="38" t="inlineStr">
        <is>
          <t>식품</t>
        </is>
      </c>
      <c r="F19" s="39" t="n">
        <v>500</v>
      </c>
      <c r="G19" s="39" t="n">
        <v>4200</v>
      </c>
      <c r="H19" s="40">
        <f>IF(AND(ISNUMBER(F19),ISNUMBER(G19)),F19*G19,"")</f>
        <v/>
      </c>
      <c r="I19" s="41" t="n">
        <v>0</v>
      </c>
      <c r="J19" s="42">
        <f>IF(H19="","",H19*(1-IF(ISNUMBER(I19),I19,0)))</f>
        <v/>
      </c>
      <c r="K19" s="38" t="inlineStr">
        <is>
          <t>대량 납품</t>
        </is>
      </c>
    </row>
    <row r="20" ht="19.5" customHeight="1" s="27">
      <c r="A20" s="36" t="n">
        <v>16</v>
      </c>
      <c r="B20" s="37" t="n">
        <v>45730</v>
      </c>
      <c r="C20" s="38" t="inlineStr">
        <is>
          <t>서울패션</t>
        </is>
      </c>
      <c r="D20" s="38" t="inlineStr">
        <is>
          <t>린넨 셔츠</t>
        </is>
      </c>
      <c r="E20" s="38" t="inlineStr">
        <is>
          <t>의류</t>
        </is>
      </c>
      <c r="F20" s="39" t="n">
        <v>50</v>
      </c>
      <c r="G20" s="39" t="n">
        <v>45000</v>
      </c>
      <c r="H20" s="40">
        <f>IF(AND(ISNUMBER(F20),ISNUMBER(G20)),F20*G20,"")</f>
        <v/>
      </c>
      <c r="I20" s="41" t="n">
        <v>0.05</v>
      </c>
      <c r="J20" s="42">
        <f>IF(H20="","",H20*(1-IF(ISNUMBER(I20),I20,0)))</f>
        <v/>
      </c>
      <c r="K20" s="38" t="inlineStr"/>
    </row>
    <row r="21" ht="19.5" customHeight="1" s="27">
      <c r="A21" s="36" t="n">
        <v>17</v>
      </c>
      <c r="B21" s="37" t="n">
        <v>45735</v>
      </c>
      <c r="C21" s="38" t="inlineStr">
        <is>
          <t>뷰티하우스</t>
        </is>
      </c>
      <c r="D21" s="38" t="inlineStr">
        <is>
          <t>립 틴트 3종</t>
        </is>
      </c>
      <c r="E21" s="38" t="inlineStr">
        <is>
          <t>화장품</t>
        </is>
      </c>
      <c r="F21" s="39" t="n">
        <v>90</v>
      </c>
      <c r="G21" s="39" t="n">
        <v>16000</v>
      </c>
      <c r="H21" s="40">
        <f>IF(AND(ISNUMBER(F21),ISNUMBER(G21)),F21*G21,"")</f>
        <v/>
      </c>
      <c r="I21" s="41" t="n">
        <v>0</v>
      </c>
      <c r="J21" s="42">
        <f>IF(H21="","",H21*(1-IF(ISNUMBER(I21),I21,0)))</f>
        <v/>
      </c>
      <c r="K21" s="38" t="inlineStr"/>
    </row>
    <row r="22" ht="19.5" customHeight="1" s="27">
      <c r="A22" s="36" t="n">
        <v>18</v>
      </c>
      <c r="B22" s="37" t="n">
        <v>45740</v>
      </c>
      <c r="C22" s="38" t="inlineStr">
        <is>
          <t>굿라이프</t>
        </is>
      </c>
      <c r="D22" s="38" t="inlineStr">
        <is>
          <t>기타 소모품</t>
        </is>
      </c>
      <c r="E22" s="38" t="inlineStr">
        <is>
          <t>기타</t>
        </is>
      </c>
      <c r="F22" s="39" t="n">
        <v>10</v>
      </c>
      <c r="G22" s="39" t="n">
        <v>30000</v>
      </c>
      <c r="H22" s="40">
        <f>IF(AND(ISNUMBER(F22),ISNUMBER(G22)),F22*G22,"")</f>
        <v/>
      </c>
      <c r="I22" s="41" t="n">
        <v>0</v>
      </c>
      <c r="J22" s="42">
        <f>IF(H22="","",H22*(1-IF(ISNUMBER(I22),I22,0)))</f>
        <v/>
      </c>
      <c r="K22" s="38" t="inlineStr">
        <is>
          <t>샘플 제공</t>
        </is>
      </c>
    </row>
    <row r="23" ht="19.5" customHeight="1" s="27">
      <c r="A23" s="36" t="n">
        <v>19</v>
      </c>
      <c r="B23" s="37" t="n">
        <v>45743</v>
      </c>
      <c r="C23" s="38" t="inlineStr">
        <is>
          <t>그린리빙</t>
        </is>
      </c>
      <c r="D23" s="38" t="inlineStr">
        <is>
          <t>주방 타월 12팩</t>
        </is>
      </c>
      <c r="E23" s="38" t="inlineStr">
        <is>
          <t>생활용품</t>
        </is>
      </c>
      <c r="F23" s="39" t="n">
        <v>180</v>
      </c>
      <c r="G23" s="39" t="n">
        <v>7800</v>
      </c>
      <c r="H23" s="40">
        <f>IF(AND(ISNUMBER(F23),ISNUMBER(G23)),F23*G23,"")</f>
        <v/>
      </c>
      <c r="I23" s="41" t="n">
        <v>0.05</v>
      </c>
      <c r="J23" s="42">
        <f>IF(H23="","",H23*(1-IF(ISNUMBER(I23),I23,0)))</f>
        <v/>
      </c>
      <c r="K23" s="38" t="inlineStr"/>
    </row>
    <row r="24" ht="19.5" customHeight="1" s="27">
      <c r="A24" s="36" t="n">
        <v>20</v>
      </c>
      <c r="B24" s="37" t="n">
        <v>45747</v>
      </c>
      <c r="C24" s="38" t="inlineStr">
        <is>
          <t>스마트오피스</t>
        </is>
      </c>
      <c r="D24" s="38" t="inlineStr">
        <is>
          <t>유지보수 계약 (월)</t>
        </is>
      </c>
      <c r="E24" s="38" t="inlineStr">
        <is>
          <t>서비스</t>
        </is>
      </c>
      <c r="F24" s="39" t="n">
        <v>3</v>
      </c>
      <c r="G24" s="39" t="n">
        <v>350000</v>
      </c>
      <c r="H24" s="40">
        <f>IF(AND(ISNUMBER(F24),ISNUMBER(G24)),F24*G24,"")</f>
        <v/>
      </c>
      <c r="I24" s="41" t="n">
        <v>0</v>
      </c>
      <c r="J24" s="42">
        <f>IF(H24="","",H24*(1-IF(ISNUMBER(I24),I24,0)))</f>
        <v/>
      </c>
      <c r="K24" s="38" t="inlineStr">
        <is>
          <t>3월분</t>
        </is>
      </c>
    </row>
    <row r="25" ht="19.5" customHeight="1" s="27">
      <c r="A25" s="36" t="n">
        <v>21</v>
      </c>
      <c r="B25" s="38" t="n"/>
      <c r="C25" s="38" t="n"/>
      <c r="D25" s="38" t="n"/>
      <c r="E25" s="38" t="n"/>
      <c r="F25" s="39" t="n"/>
      <c r="G25" s="39" t="n"/>
      <c r="H25" s="40">
        <f>IF(AND(ISNUMBER(F25),ISNUMBER(G25)),F25*G25,"")</f>
        <v/>
      </c>
      <c r="I25" s="41" t="n"/>
      <c r="J25" s="42">
        <f>IF(H25="","",H25*(1-IF(ISNUMBER(I25),I25,0)))</f>
        <v/>
      </c>
      <c r="K25" s="38" t="n"/>
    </row>
    <row r="26" ht="19.5" customHeight="1" s="27">
      <c r="A26" s="36" t="n">
        <v>22</v>
      </c>
      <c r="B26" s="38" t="n"/>
      <c r="C26" s="38" t="n"/>
      <c r="D26" s="38" t="n"/>
      <c r="E26" s="38" t="n"/>
      <c r="F26" s="39" t="n"/>
      <c r="G26" s="39" t="n"/>
      <c r="H26" s="40">
        <f>IF(AND(ISNUMBER(F26),ISNUMBER(G26)),F26*G26,"")</f>
        <v/>
      </c>
      <c r="I26" s="41" t="n"/>
      <c r="J26" s="42">
        <f>IF(H26="","",H26*(1-IF(ISNUMBER(I26),I26,0)))</f>
        <v/>
      </c>
      <c r="K26" s="38" t="n"/>
    </row>
    <row r="27" ht="19.5" customHeight="1" s="27">
      <c r="A27" s="36" t="n">
        <v>23</v>
      </c>
      <c r="B27" s="38" t="n"/>
      <c r="C27" s="38" t="n"/>
      <c r="D27" s="38" t="n"/>
      <c r="E27" s="38" t="n"/>
      <c r="F27" s="39" t="n"/>
      <c r="G27" s="39" t="n"/>
      <c r="H27" s="40">
        <f>IF(AND(ISNUMBER(F27),ISNUMBER(G27)),F27*G27,"")</f>
        <v/>
      </c>
      <c r="I27" s="41" t="n"/>
      <c r="J27" s="42">
        <f>IF(H27="","",H27*(1-IF(ISNUMBER(I27),I27,0)))</f>
        <v/>
      </c>
      <c r="K27" s="38" t="n"/>
    </row>
    <row r="28" ht="19.5" customHeight="1" s="27">
      <c r="A28" s="36" t="n">
        <v>24</v>
      </c>
      <c r="B28" s="38" t="n"/>
      <c r="C28" s="38" t="n"/>
      <c r="D28" s="38" t="n"/>
      <c r="E28" s="38" t="n"/>
      <c r="F28" s="39" t="n"/>
      <c r="G28" s="39" t="n"/>
      <c r="H28" s="40">
        <f>IF(AND(ISNUMBER(F28),ISNUMBER(G28)),F28*G28,"")</f>
        <v/>
      </c>
      <c r="I28" s="41" t="n"/>
      <c r="J28" s="42">
        <f>IF(H28="","",H28*(1-IF(ISNUMBER(I28),I28,0)))</f>
        <v/>
      </c>
      <c r="K28" s="38" t="n"/>
    </row>
    <row r="29" ht="19.5" customHeight="1" s="27">
      <c r="A29" s="36" t="n">
        <v>25</v>
      </c>
      <c r="B29" s="38" t="n"/>
      <c r="C29" s="38" t="n"/>
      <c r="D29" s="38" t="n"/>
      <c r="E29" s="38" t="n"/>
      <c r="F29" s="39" t="n"/>
      <c r="G29" s="39" t="n"/>
      <c r="H29" s="40">
        <f>IF(AND(ISNUMBER(F29),ISNUMBER(G29)),F29*G29,"")</f>
        <v/>
      </c>
      <c r="I29" s="41" t="n"/>
      <c r="J29" s="42">
        <f>IF(H29="","",H29*(1-IF(ISNUMBER(I29),I29,0)))</f>
        <v/>
      </c>
      <c r="K29" s="38" t="n"/>
    </row>
    <row r="30" ht="19.5" customHeight="1" s="27">
      <c r="A30" s="36" t="n">
        <v>26</v>
      </c>
      <c r="B30" s="38" t="n"/>
      <c r="C30" s="38" t="n"/>
      <c r="D30" s="38" t="n"/>
      <c r="E30" s="38" t="n"/>
      <c r="F30" s="39" t="n"/>
      <c r="G30" s="39" t="n"/>
      <c r="H30" s="40">
        <f>IF(AND(ISNUMBER(F30),ISNUMBER(G30)),F30*G30,"")</f>
        <v/>
      </c>
      <c r="I30" s="41" t="n"/>
      <c r="J30" s="42">
        <f>IF(H30="","",H30*(1-IF(ISNUMBER(I30),I30,0)))</f>
        <v/>
      </c>
      <c r="K30" s="38" t="n"/>
    </row>
    <row r="31" ht="19.5" customHeight="1" s="27">
      <c r="A31" s="36" t="n">
        <v>27</v>
      </c>
      <c r="B31" s="38" t="n"/>
      <c r="C31" s="38" t="n"/>
      <c r="D31" s="38" t="n"/>
      <c r="E31" s="38" t="n"/>
      <c r="F31" s="39" t="n"/>
      <c r="G31" s="39" t="n"/>
      <c r="H31" s="40">
        <f>IF(AND(ISNUMBER(F31),ISNUMBER(G31)),F31*G31,"")</f>
        <v/>
      </c>
      <c r="I31" s="41" t="n"/>
      <c r="J31" s="42">
        <f>IF(H31="","",H31*(1-IF(ISNUMBER(I31),I31,0)))</f>
        <v/>
      </c>
      <c r="K31" s="38" t="n"/>
    </row>
    <row r="32" ht="19.5" customHeight="1" s="27">
      <c r="A32" s="36" t="n">
        <v>28</v>
      </c>
      <c r="B32" s="38" t="n"/>
      <c r="C32" s="38" t="n"/>
      <c r="D32" s="38" t="n"/>
      <c r="E32" s="38" t="n"/>
      <c r="F32" s="39" t="n"/>
      <c r="G32" s="39" t="n"/>
      <c r="H32" s="40">
        <f>IF(AND(ISNUMBER(F32),ISNUMBER(G32)),F32*G32,"")</f>
        <v/>
      </c>
      <c r="I32" s="41" t="n"/>
      <c r="J32" s="42">
        <f>IF(H32="","",H32*(1-IF(ISNUMBER(I32),I32,0)))</f>
        <v/>
      </c>
      <c r="K32" s="38" t="n"/>
    </row>
    <row r="33" ht="19.5" customHeight="1" s="27">
      <c r="A33" s="36" t="n">
        <v>29</v>
      </c>
      <c r="B33" s="38" t="n"/>
      <c r="C33" s="38" t="n"/>
      <c r="D33" s="38" t="n"/>
      <c r="E33" s="38" t="n"/>
      <c r="F33" s="39" t="n"/>
      <c r="G33" s="39" t="n"/>
      <c r="H33" s="40">
        <f>IF(AND(ISNUMBER(F33),ISNUMBER(G33)),F33*G33,"")</f>
        <v/>
      </c>
      <c r="I33" s="41" t="n"/>
      <c r="J33" s="42">
        <f>IF(H33="","",H33*(1-IF(ISNUMBER(I33),I33,0)))</f>
        <v/>
      </c>
      <c r="K33" s="38" t="n"/>
    </row>
    <row r="34" ht="19.5" customHeight="1" s="27">
      <c r="A34" s="36" t="n">
        <v>30</v>
      </c>
      <c r="B34" s="38" t="n"/>
      <c r="C34" s="38" t="n"/>
      <c r="D34" s="38" t="n"/>
      <c r="E34" s="38" t="n"/>
      <c r="F34" s="39" t="n"/>
      <c r="G34" s="39" t="n"/>
      <c r="H34" s="40">
        <f>IF(AND(ISNUMBER(F34),ISNUMBER(G34)),F34*G34,"")</f>
        <v/>
      </c>
      <c r="I34" s="41" t="n"/>
      <c r="J34" s="42">
        <f>IF(H34="","",H34*(1-IF(ISNUMBER(I34),I34,0)))</f>
        <v/>
      </c>
      <c r="K34" s="38" t="n"/>
    </row>
    <row r="35" ht="25.5" customHeight="1" s="27">
      <c r="A35" s="43" t="inlineStr">
        <is>
          <t>합 계</t>
        </is>
      </c>
      <c r="B35" s="44" t="n"/>
      <c r="C35" s="44" t="n"/>
      <c r="D35" s="44" t="n"/>
      <c r="E35" s="44" t="n"/>
      <c r="F35" s="44" t="n"/>
      <c r="G35" s="44" t="n"/>
      <c r="H35" s="45">
        <f>SUMIF(H5:H34,"&lt;&gt;""")</f>
        <v/>
      </c>
      <c r="I35" s="46">
        <f>IFERROR(1-J35/H35,"")</f>
        <v/>
      </c>
      <c r="J35" s="45">
        <f>SUMIF(J5:J34,"&lt;&gt;""")</f>
        <v/>
      </c>
      <c r="K35" s="47" t="inlineStr">
        <is>
          <t>← 자동 합계</t>
        </is>
      </c>
    </row>
  </sheetData>
  <mergeCells count="6">
    <mergeCell ref="B3:C3"/>
    <mergeCell ref="A35:G35"/>
    <mergeCell ref="A2:K2"/>
    <mergeCell ref="A1:K1"/>
    <mergeCell ref="E3:F3"/>
    <mergeCell ref="H3:I3"/>
  </mergeCells>
  <dataValidations count="1">
    <dataValidation sqref="E5:E34" showDropDown="0" showInputMessage="0" showErrorMessage="0" allowBlank="1" errorTitle="입력 오류" error="목록에서 카테고리를 선택하세요." type="list" errorStyle="stop" operator="between">
      <formula1>"식품,의류,전자기기,화장품,생활용품,서비스,기타"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18" customWidth="1" style="26" min="2" max="3"/>
    <col width="14" customWidth="1" style="26" min="4" max="4"/>
    <col width="20" customWidth="1" style="26" min="5" max="5"/>
  </cols>
  <sheetData>
    <row r="1" ht="33.75" customHeight="1" s="27">
      <c r="A1" s="48" t="inlineStr">
        <is>
          <t>월별 매출 요약</t>
        </is>
      </c>
    </row>
    <row r="2" ht="21.75" customHeight="1" s="27">
      <c r="A2" s="35" t="inlineStr">
        <is>
          <t>월</t>
        </is>
      </c>
      <c r="B2" s="35" t="inlineStr">
        <is>
          <t>목표 매출 (원)</t>
        </is>
      </c>
      <c r="C2" s="35" t="inlineStr">
        <is>
          <t>실제 매출 (원)</t>
        </is>
      </c>
      <c r="D2" s="35" t="inlineStr">
        <is>
          <t>달성률 (%)</t>
        </is>
      </c>
      <c r="E2" s="35" t="inlineStr">
        <is>
          <t>비고</t>
        </is>
      </c>
    </row>
    <row r="3" ht="19.5" customHeight="1" s="27">
      <c r="A3" s="49" t="inlineStr">
        <is>
          <t>1월</t>
        </is>
      </c>
      <c r="B3" s="50" t="n">
        <v>10000000</v>
      </c>
      <c r="C3" s="50" t="n">
        <v>15115100</v>
      </c>
      <c r="D3" s="51">
        <f>IFERROR(C3/B3,"")</f>
        <v/>
      </c>
      <c r="E3" s="38" t="inlineStr">
        <is>
          <t>신년 프로모션</t>
        </is>
      </c>
    </row>
    <row r="4" ht="19.5" customHeight="1" s="27">
      <c r="A4" s="49" t="inlineStr">
        <is>
          <t>2월</t>
        </is>
      </c>
      <c r="B4" s="50" t="n">
        <v>12000000</v>
      </c>
      <c r="C4" s="50" t="n">
        <v>14071500</v>
      </c>
      <c r="D4" s="51">
        <f>IFERROR(C4/B4,"")</f>
        <v/>
      </c>
      <c r="E4" s="38" t="inlineStr">
        <is>
          <t>설 시즌</t>
        </is>
      </c>
    </row>
    <row r="5" ht="19.5" customHeight="1" s="27">
      <c r="A5" s="49" t="inlineStr">
        <is>
          <t>3월</t>
        </is>
      </c>
      <c r="B5" s="50" t="n">
        <v>15000000</v>
      </c>
      <c r="C5" s="50" t="n">
        <v>16935300</v>
      </c>
      <c r="D5" s="51">
        <f>IFERROR(C5/B5,"")</f>
        <v/>
      </c>
      <c r="E5" s="38" t="n"/>
    </row>
    <row r="6" ht="19.5" customHeight="1" s="27">
      <c r="A6" s="49" t="inlineStr">
        <is>
          <t>4월</t>
        </is>
      </c>
      <c r="B6" s="50" t="n">
        <v>13000000</v>
      </c>
      <c r="C6" s="50" t="n"/>
      <c r="D6" s="51">
        <f>IFERROR(C6/B6,"")</f>
        <v/>
      </c>
      <c r="E6" s="38" t="n"/>
    </row>
    <row r="7" ht="19.5" customHeight="1" s="27">
      <c r="A7" s="49" t="inlineStr">
        <is>
          <t>5월</t>
        </is>
      </c>
      <c r="B7" s="50" t="n">
        <v>13000000</v>
      </c>
      <c r="C7" s="50" t="n"/>
      <c r="D7" s="51">
        <f>IFERROR(C7/B7,"")</f>
        <v/>
      </c>
      <c r="E7" s="38" t="n"/>
    </row>
    <row r="8" ht="19.5" customHeight="1" s="27">
      <c r="A8" s="49" t="inlineStr">
        <is>
          <t>6월</t>
        </is>
      </c>
      <c r="B8" s="50" t="n">
        <v>14000000</v>
      </c>
      <c r="C8" s="50" t="n"/>
      <c r="D8" s="51">
        <f>IFERROR(C8/B8,"")</f>
        <v/>
      </c>
      <c r="E8" s="38" t="n"/>
    </row>
    <row r="9" ht="19.5" customHeight="1" s="27">
      <c r="A9" s="49" t="inlineStr">
        <is>
          <t>7월</t>
        </is>
      </c>
      <c r="B9" s="50" t="n">
        <v>14000000</v>
      </c>
      <c r="C9" s="50" t="n"/>
      <c r="D9" s="51">
        <f>IFERROR(C9/B9,"")</f>
        <v/>
      </c>
      <c r="E9" s="38" t="n"/>
    </row>
    <row r="10" ht="19.5" customHeight="1" s="27">
      <c r="A10" s="49" t="inlineStr">
        <is>
          <t>8월</t>
        </is>
      </c>
      <c r="B10" s="50" t="n">
        <v>12000000</v>
      </c>
      <c r="C10" s="50" t="n"/>
      <c r="D10" s="51">
        <f>IFERROR(C10/B10,"")</f>
        <v/>
      </c>
      <c r="E10" s="38" t="n"/>
    </row>
    <row r="11" ht="19.5" customHeight="1" s="27">
      <c r="A11" s="49" t="inlineStr">
        <is>
          <t>9월</t>
        </is>
      </c>
      <c r="B11" s="50" t="n">
        <v>15000000</v>
      </c>
      <c r="C11" s="50" t="n"/>
      <c r="D11" s="51">
        <f>IFERROR(C11/B11,"")</f>
        <v/>
      </c>
      <c r="E11" s="38" t="n"/>
    </row>
    <row r="12" ht="19.5" customHeight="1" s="27">
      <c r="A12" s="49" t="inlineStr">
        <is>
          <t>10월</t>
        </is>
      </c>
      <c r="B12" s="50" t="n">
        <v>16000000</v>
      </c>
      <c r="C12" s="50" t="n"/>
      <c r="D12" s="51">
        <f>IFERROR(C12/B12,"")</f>
        <v/>
      </c>
      <c r="E12" s="38" t="n"/>
    </row>
    <row r="13" ht="19.5" customHeight="1" s="27">
      <c r="A13" s="49" t="inlineStr">
        <is>
          <t>11월</t>
        </is>
      </c>
      <c r="B13" s="50" t="n">
        <v>18000000</v>
      </c>
      <c r="C13" s="50" t="n"/>
      <c r="D13" s="51">
        <f>IFERROR(C13/B13,"")</f>
        <v/>
      </c>
      <c r="E13" s="38" t="n"/>
    </row>
    <row r="14" ht="19.5" customHeight="1" s="27">
      <c r="A14" s="49" t="inlineStr">
        <is>
          <t>12월</t>
        </is>
      </c>
      <c r="B14" s="50" t="n">
        <v>20000000</v>
      </c>
      <c r="C14" s="50" t="n"/>
      <c r="D14" s="51">
        <f>IFERROR(C14/B14,"")</f>
        <v/>
      </c>
      <c r="E14" s="38" t="n"/>
    </row>
    <row r="15" ht="24" customHeight="1" s="27">
      <c r="A15" s="52" t="inlineStr">
        <is>
          <t>연간 합계</t>
        </is>
      </c>
      <c r="B15" s="45">
        <f>SUM(B3:B14)</f>
        <v/>
      </c>
      <c r="C15" s="45">
        <f>SUM(C3:C14)</f>
        <v/>
      </c>
      <c r="D15" s="46">
        <f>IFERROR(C15/B15,"")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26" min="1" max="1"/>
    <col width="22" customWidth="1" style="26" min="2" max="2"/>
    <col width="52" customWidth="1" style="26" min="3" max="3"/>
  </cols>
  <sheetData>
    <row r="1" ht="33.75" customHeight="1" s="27">
      <c r="A1" s="48" t="inlineStr">
        <is>
          <t>사용 안내</t>
        </is>
      </c>
    </row>
    <row r="3" ht="19.5" customHeight="1" s="27">
      <c r="B3" s="53" t="inlineStr">
        <is>
          <t>색상 안내</t>
        </is>
      </c>
      <c r="C3" s="44" t="n"/>
    </row>
    <row r="4" ht="19.5" customHeight="1" s="27">
      <c r="B4" s="54" t="inlineStr">
        <is>
          <t>파란색 셀</t>
        </is>
      </c>
      <c r="C4" s="55" t="inlineStr">
        <is>
          <t>직접 데이터를 입력하는 칸</t>
        </is>
      </c>
    </row>
    <row r="5" ht="19.5" customHeight="1" s="27">
      <c r="B5" s="54" t="inlineStr">
        <is>
          <t>흰색 셀</t>
        </is>
      </c>
      <c r="C5" s="55" t="inlineStr">
        <is>
          <t>자동 계산 결과 (수정 불필요)</t>
        </is>
      </c>
    </row>
    <row r="6" ht="19.5" customHeight="1" s="27">
      <c r="B6" s="54" t="inlineStr">
        <is>
          <t>노란색 셀</t>
        </is>
      </c>
      <c r="C6" s="55" t="inlineStr">
        <is>
          <t>합계 행 (자동 계산)</t>
        </is>
      </c>
    </row>
    <row r="7" ht="19.5" customHeight="1" s="27">
      <c r="B7" s="53" t="n"/>
      <c r="C7" s="44" t="n"/>
    </row>
    <row r="8" ht="19.5" customHeight="1" s="27">
      <c r="B8" s="53" t="inlineStr">
        <is>
          <t>입력 방법</t>
        </is>
      </c>
      <c r="C8" s="44" t="n"/>
    </row>
    <row r="9" ht="19.5" customHeight="1" s="27">
      <c r="B9" s="54" t="inlineStr">
        <is>
          <t>날짜</t>
        </is>
      </c>
      <c r="C9" s="56" t="inlineStr">
        <is>
          <t>YYYY-MM-DD 형식으로 입력 (예: 2025-01-15)</t>
        </is>
      </c>
    </row>
    <row r="10" ht="19.5" customHeight="1" s="27">
      <c r="B10" s="54" t="inlineStr">
        <is>
          <t>수량</t>
        </is>
      </c>
      <c r="C10" s="55" t="inlineStr">
        <is>
          <t>정수로 입력</t>
        </is>
      </c>
    </row>
    <row r="11" ht="19.5" customHeight="1" s="27">
      <c r="B11" s="54" t="inlineStr">
        <is>
          <t>단가</t>
        </is>
      </c>
      <c r="C11" s="55" t="inlineStr">
        <is>
          <t>원화 금액을 숫자로 입력 (쉼표 불필요)</t>
        </is>
      </c>
    </row>
    <row r="12" ht="19.5" customHeight="1" s="27">
      <c r="B12" s="54" t="inlineStr">
        <is>
          <t>할인율</t>
        </is>
      </c>
      <c r="C12" s="56" t="inlineStr">
        <is>
          <t>0~1 사이 소수 입력 (예: 10% → 0.1)</t>
        </is>
      </c>
    </row>
    <row r="13" ht="19.5" customHeight="1" s="27">
      <c r="B13" s="54" t="inlineStr">
        <is>
          <t>카테고리</t>
        </is>
      </c>
      <c r="C13" s="55" t="inlineStr">
        <is>
          <t>드롭다운 목록에서 선택</t>
        </is>
      </c>
    </row>
    <row r="14" ht="19.5" customHeight="1" s="27">
      <c r="B14" s="53" t="n"/>
      <c r="C14" s="44" t="n"/>
    </row>
    <row r="15" ht="19.5" customHeight="1" s="27">
      <c r="B15" s="53" t="inlineStr">
        <is>
          <t>주의사항</t>
        </is>
      </c>
      <c r="C15" s="44" t="n"/>
    </row>
    <row r="16" ht="19.5" customHeight="1" s="27">
      <c r="B16" s="54" t="inlineStr">
        <is>
          <t>수식 셀</t>
        </is>
      </c>
      <c r="C16" s="56" t="inlineStr">
        <is>
          <t>H열(매출액), J열(할인 후 매출)은 자동 계산 셀입니다. 직접 수정하지 마세요.</t>
        </is>
      </c>
    </row>
    <row r="17" ht="19.5" customHeight="1" s="27">
      <c r="B17" s="54" t="inlineStr">
        <is>
          <t>행 추가</t>
        </is>
      </c>
      <c r="C17" s="56" t="inlineStr">
        <is>
          <t>35행 이후에 행을 추가할 경우 합계 수식 범위를 직접 수정해야 합니다.</t>
        </is>
      </c>
    </row>
  </sheetData>
  <mergeCells count="6">
    <mergeCell ref="B15:C15"/>
    <mergeCell ref="B7:C7"/>
    <mergeCell ref="A1:C1"/>
    <mergeCell ref="B3:C3"/>
    <mergeCell ref="B14:C14"/>
    <mergeCell ref="B8:C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2026-03-17T15:02:43Z</dcterms:created>
  <dcterms:modified xmlns:dcterms="http://purl.org/dc/terms/" xmlns:xsi="http://www.w3.org/2001/XMLSchema-instance" xsi:type="dcterms:W3CDTF">2026-09-26T11:19:42Z</dcterms:modified>
  <cp:revision>0</cp:revision>
</cp:coreProperties>
</file>